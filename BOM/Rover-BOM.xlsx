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fficial BOM" sheetId="1" r:id="rId5"/>
  </sheets>
  <definedNames/>
  <calcPr/>
</workbook>
</file>

<file path=xl/sharedStrings.xml><?xml version="1.0" encoding="utf-8"?>
<sst xmlns="http://schemas.openxmlformats.org/spreadsheetml/2006/main" count="104" uniqueCount="103">
  <si>
    <t>Quantity</t>
  </si>
  <si>
    <t>Item</t>
  </si>
  <si>
    <t>Description</t>
  </si>
  <si>
    <t>Manufacturer</t>
  </si>
  <si>
    <t>Link</t>
  </si>
  <si>
    <t>Cost (No Tax/Shipping)</t>
  </si>
  <si>
    <t>Servo</t>
  </si>
  <si>
    <t>Powers the wheels and the camera module.</t>
  </si>
  <si>
    <t>WOWROBO</t>
  </si>
  <si>
    <t>https://shop.wowrobo.com/products/feetech-sts3215-servo-12v-30kg-high-torque-servo-for-so-arm100?variant=48037575098585</t>
  </si>
  <si>
    <t>RPi5/8GB</t>
  </si>
  <si>
    <t>Powers the camera module, controls the rover. The "brains."</t>
  </si>
  <si>
    <t>AAAWave</t>
  </si>
  <si>
    <t>https://aaawave.com/products/raspberry-pi-5-development-broad?variant=51441087152449</t>
  </si>
  <si>
    <t>MicroSD</t>
  </si>
  <si>
    <t>High-powered SD card for video streaming.</t>
  </si>
  <si>
    <t>Sandisk</t>
  </si>
  <si>
    <t>https://www.sandisk.com/products/memory-cards/microsd-cards/sandisk-extreme-uhs-i-microsd?sku=SDSQXAH-064G-GN6MA&amp;ef_id=CjwKCAjw08fSBhA7EiwAfbQTsPx3cN8aB8uRMxURR1R-_cF_jo6hdMXSVhwkk3xbFUuyQjc5Nw6JhhoCvhoQAvD_BwE:G:s&amp;s_kwcid=AL!15012!3!!!!x!!!21840826498!&amp;utm_medium=pdsh2&amp;utm_source=gads&amp;utm_campaign=Google-B2C-Conversion-Pmax-NA-US-EN-Memory_Card-All-All-Brand&amp;utm_content=&amp;utm_term=SDSQXAH-064G-GN6MA&amp;cp2=&amp;gad_source=1&amp;gad_campaignid=21836907008&amp;gbraid=0AAAAA-HVYqlJmcvXP8ef7hgjz_7GGBe63&amp;gclid=CjwKCAjw08fSBhA7EiwAfbQTsPx3cN8aB8uRMxURR1R-_cF_jo6hdMXSVhwkk3xbFUuyQjc5Nw6JhhoCvhoQAvD_BwE</t>
  </si>
  <si>
    <t>RPi Active Cooler</t>
  </si>
  <si>
    <t>Provides cooling (improving performance) to the RPi.</t>
  </si>
  <si>
    <t>Waveshare</t>
  </si>
  <si>
    <t>https://www.waveshare.com/pi5-active-cooler-b.htm?srsltid=AfmBOorIETeNn6eYTmvhfjgxaVe1lQFtRIerl5n4vl6x1gulRuQlPhX_72c</t>
  </si>
  <si>
    <t>Servo Driver HAT</t>
  </si>
  <si>
    <t>Allows the RPi to control the servos.</t>
  </si>
  <si>
    <t>https://www.waveshare.com/bus-servo-driver-hat-a.htm?srsltid=AfmBOoqlVvUrJe6M87IZNdOID4P7R1Pltj9HDUx99dEpqoArwkGcl-Qk</t>
  </si>
  <si>
    <t>RPi AI Camera</t>
  </si>
  <si>
    <t>Allows the RPi to run object detection/livestreaming.</t>
  </si>
  <si>
    <t>Adafruit</t>
  </si>
  <si>
    <t>https://www.adafruit.com/product/6009?src=raspberrypi</t>
  </si>
  <si>
    <t>Camera Cable - 500mm</t>
  </si>
  <si>
    <t>Extends the camera module's range.</t>
  </si>
  <si>
    <t>https://www.adafruit.com/product/5820?srsltid=AfmBOoq0_7Ll8hyILvBrmsxwfYfdwfZmTf9yRLH91rP_sw95HGtR5fxP</t>
  </si>
  <si>
    <t>US-100 Sensor</t>
  </si>
  <si>
    <t>Allows the RPi to run object avoidance.</t>
  </si>
  <si>
    <t>https://www.adafruit.com/product/4019?srsltid=AfmBOopqUSDoBiL8bs7c9R5A7LaGi7uTEd9SzVgCAapdYCJEvjR4OtMU</t>
  </si>
  <si>
    <t>Stacking Header, GPIO</t>
  </si>
  <si>
    <t>Allows the HAT to be attached onto the Pi alongside the Active Cooler.</t>
  </si>
  <si>
    <t>https://www.adafruit.com/product/2223?srsltid=AfmBOorZS7ULUgY6qKUJ5o-jUqtQg7W5RX7llEZ9OVBLOYnNy2c10-HJ</t>
  </si>
  <si>
    <t>Male to JST-PH Wires</t>
  </si>
  <si>
    <t>Allows for the solderless wiring (acting as a breakout board for power-injection).</t>
  </si>
  <si>
    <t>https://www.adafruit.com/product/3893</t>
  </si>
  <si>
    <t>Female to JST-PH</t>
  </si>
  <si>
    <t>Same role as the male wires, composite.</t>
  </si>
  <si>
    <t>Electromaker</t>
  </si>
  <si>
    <t>https://www.electromaker.io/shop/product/stemma-jst-ph-3-pin-to-female-socket-cable-200mm?srsltid=AfmBOoor4qgoh85r9CTrWn--_YdJ4-AS2ky31nekim2vtHqDZs7TjVwO</t>
  </si>
  <si>
    <t>Ball Bearings</t>
  </si>
  <si>
    <t>Facilitate the rocker-bogie's rotational freedom.</t>
  </si>
  <si>
    <t>Amazon</t>
  </si>
  <si>
    <t>https://www.amazon.com/uxcell-F6901ZZ-Flanged-Bearings-Shielded/dp/B0G1B7H48R/ref=sr_1_7_sspa?crid=JAA7EEQB1MK7&amp;dib=eyJ2IjoiMSJ9.R1GqknQKbk72D7fqKNiJSMeJp6OfUFJRV-qDMKi818pFJDLXGO_XdT_rhyIzrHWJk2wbelVzPU70FqVyDpzP-Feax62ltJ_eKAzW5nWuN1STHdQqcb7WJ79plJJCxsRJ1ALduwgs_r0YmUlzOdq8qroO7Jw9k8oAqu6BgwqOnaYbAmC5d1s8QRifY_2G44-VF3vkcmfMcHVgk9FyFk3OYzoqWe0WpJWWW4tZlaOnexg.eBaMTTB-rTQsRDvsGLDvSYWbIMnxBuEiB6NS4SVBoyI&amp;dib_tag=se&amp;keywords=flanged%2Bbearings%2B5%2Bpack&amp;qid=1783280410&amp;sprefix=flanged%2Bbearings%2Bpack%2Caps%2C262&amp;sr=8-7-spons&amp;sp_csd=d2lkZ2V0TmFtZT1zcF9tdGY&amp;th=1</t>
  </si>
  <si>
    <t>VK-162</t>
  </si>
  <si>
    <t>Allow the RPi to gain GPS-based autonomous capabilities.</t>
  </si>
  <si>
    <t>https://www.amazon.com/Navigation-External-Receiver-Raspberry-Geekstory/dp/B078Y52FGQ</t>
  </si>
  <si>
    <t>LiFePO4 12V 15Ah Battery</t>
  </si>
  <si>
    <t>Powers the rover.</t>
  </si>
  <si>
    <t>https://www.amazon.com/12-8V-20Ah-LiFePO4-Battery-Lithium/dp/B0DHKS1GK6/ref=sr_1_1?dib=eyJ2IjoiMSJ9.y_BB4ZUVDy_P1iab0mtJLrdIAZYM7q4WCWsY8scMLNXGjHj071QN20LucGBJIEps.JQbr0-LXd9MNLlsY3c5s25VIblkiRtRJFjGmbfGUKEM&amp;dib_tag=se&amp;keywords=%2FOKMO-LiFePO4-Lithium-Battery-rechargeable&amp;qid=1784523658&amp;sr=8-1&amp;th=1</t>
  </si>
  <si>
    <t>LiFePO4 Charger</t>
  </si>
  <si>
    <t>Charges the battery.</t>
  </si>
  <si>
    <t>https://www.amazon.com/dp/B078962VRM/ref=sspa_dk_detail_5?pd_rd_i=B078962VRM&amp;pd_rd_w=kG1K0&amp;content-id=amzn1.sym.3bc66c0a-cc61-4816-aa2d-e53327eaddb6&amp;pf_rd_p=3bc66c0a-cc61-4816-aa2d-e53327eaddb6&amp;pf_rd_r=2EN17ZGB62S0Y7BY4V2A&amp;pd_rd_wg=lniO8&amp;pd_rd_r=9ebd6d83-6c69-4011-8045-51052e2f7a57&amp;s=automotive&amp;sp_csd=d2lkZ2V0TmFtZT1zcF9kZXRhaWxfdGhlbWF0aWM&amp;th=1</t>
  </si>
  <si>
    <t>WAGO 221-415 (25 Pack)</t>
  </si>
  <si>
    <t>Facilitate the solderless connections with the power gauge wire and the Male/Females.</t>
  </si>
  <si>
    <t>https://www.amazon.com/WAGO-221-415-Lever-Nuts-5-Conductor-Connectors/dp/B07WC2XBMK/ref=sr_1_3?crid=1Y4UMK72IU0KE&amp;dib=eyJ2IjoiMSJ9.50o6xZpoqDlZ8omkj13aOe-52ADZqlJZZ2HGRZV4G4sneYPQ6xb_DikSp8RpcvN0DBk1a2v8dxq49XrN42W7LNnGjXFtq3y7xIgZs4NvUIWvWIJKZc9qG3yGzRI2wOlqaU5Bq8IAe7SasYoGuYs8V0DrRtKQFN6qGFsemjZ61LskeQYL5cqHR_CbSxLIchTa14ECuUnqwtLHJ-u1zsCXml__pUhmvqrxciWPZMJAhzA.pDMg2Rr-C8xadz-czjb1gaTF1LNnv2UsXZDu2epE-r4&amp;dib_tag=se&amp;keywords=WAGO%2B221-415%2B10PK&amp;qid=1784002188&amp;sprefix=wago%2B221-415%2B10pk%2Caps%2C255&amp;sr=8-3&amp;th=1</t>
  </si>
  <si>
    <t>Breadboard Jumper Wires Set</t>
  </si>
  <si>
    <t>To extend the Male/Female JST-PH wires.</t>
  </si>
  <si>
    <t>https://www.amazon.com/EDGELEC-Breadboard-Optional-Assorted-Multicolored/dp/B07GD2PGY4/ref=sr_1_6?crid=2MK7NBH14YLRW&amp;dib=eyJ2IjoiMSJ9.VcNFeYpulSX_NTIy1KXkQrXvpn6LZSIWc9lS_Ok37UfSvTtKNV0iZRr48lrFz1mfAQKtSV08kj8JXmJ1U4Hm3Xi30wpAyGGZO3uCR-MyQUmyuoBPgXhsf-6I3yUFnwslJNjPZHQzrD2J-fUtnB50ubBnhmm92eWjzZIUgoZXMWFWLp7VIpYzO1PulMBNa8OdLgpiG-pPArEEUmu08BtavHrZVdjA9-_YJTzRZ4HgP7oYeBuZjl0EU-WrZWpD3xqALtq3uxBeCZnLgWwgbFf61NYgXSDwIGsAeVvT6ajnJlY._mN2kkYH5lxd7vxJgQBMzo2gb675SdWwM4LYCtG7djI&amp;dib_tag=se&amp;keywords=22awg%2Bjumpers&amp;qid=1784002567&amp;s=industrial&amp;sprefix=22awg%2Bjumper%2Cindustrial%2C198&amp;sr=1-6&amp;th=1</t>
  </si>
  <si>
    <t>Heat Shrink Tubing Set</t>
  </si>
  <si>
    <t>Allow for the solderless collections to be solid.</t>
  </si>
  <si>
    <t>https://www.amazon.com/Eventronic-560-Heat-Shrink-Tubing/dp/B0DK15C58W/ref=sr_1_1_sspa?crid=3AQV12YEFCV1T&amp;dib=eyJ2IjoiMSJ9.V0KdFk2gUHHbWIfdfVHi0mLaixxYhdknsOWFBFNOTVXiwW1Vhc6zYarqKzwzIoN_30Fp4M07VOVphQ8paklFXEqzbX6TKRATQ-mLDmjSRYSM0Go_qy78nYqSn_62AEAnSgOoxx_89LbiLEXvHigCLo4vb3icg1m4uYylMz3ma77KAtUOfHzapp3BQh9z8OSp47NeDZ7Hw1yLNCGXkgO4J6nuznGfW-TwG-SxqEPwlkUZygbjfL5N32Dm5YJxS2C7T6YJ3O6PGnp2PxtpXZD-D39CAELMpBgdMILF6fzTRxY.5GvARFr_xOI4ByuMr66gOGRyFWwu0uYEI7lfnXCKQP8&amp;dib_tag=se&amp;keywords=heat+shrink&amp;qid=1784003412&amp;s=hi&amp;sprefix=heat+shrink%2Ctools%2C193&amp;sr=1-1-spons&amp;sp_csd=d2lkZ2V0TmFtZT1zcF9hdGY&amp;psc=1</t>
  </si>
  <si>
    <t>Mini Heat Gun</t>
  </si>
  <si>
    <t>Combine with the Heat Shrink Tubing</t>
  </si>
  <si>
    <t>https://www.amazon.com/QWORK-Shrink-Shrinking-Wrapping-Embossing/dp/B09NDCCW29/ref=sr_1_3?crid=JSMJGQAUFLIQ&amp;dib=eyJ2IjoiMSJ9._2pPUDN-2QN4OWnmmr95xqMJ6kXv7JzC_PSDlbsZikB5YbcPTkAZG1rDhiU8cYAdRblHnC-uN9SGoVyM3U8QaohoK9ZDk5lPGX2t7mLg00d_To9UKuM7QXjGAxSKfCsVvLVcKJH4tsZIGD-ekZE2NCC1_iLFh15Y9ngUKkuJH6u-W8z1ae7jNmB3SiclTfZbTmyxRMyivZ6BkUeUKiDQJtjq5rDcI8r-zgE4zUZq7rVt8RXI_HNnlARe2HODvHHom9sfYW06SztT2ATYIEpIyE4slHSQJGrXrt4HJvUGTBM.NgbO58wXg-6rgtpzltpqgsphAqcnyzOX2xPuvYC7r_g&amp;dib_tag=se&amp;keywords=heat+shrink+with+heater&amp;qid=1784003425&amp;s=hi&amp;sprefix=heat+shrink+with+heate%2Ctools%2C190&amp;sr=1-3</t>
  </si>
  <si>
    <t>20A 300W Adjustable Buck Converter</t>
  </si>
  <si>
    <t>Allows for the power source to safely distribute power to the Pi/Servos.</t>
  </si>
  <si>
    <t>https://www.amazon.ca/XLX-High-Power-Converter-Adjustable-Protection/dp/B081X5YX8V/ref=sr_1_2?crid=20LCX49KWPSVN&amp;dib=eyJ2IjoiMSJ9.tLqm_hBIhJ1SfbtpkfQ3uDIvpMZhJpko9_5rrw9mW7uT3XBDWbPaVursT136F9qnB7hGLlbpqCfZfM8lCOe21X0SMs2z5wzYVakJZza75DeUTY2FKM57t2bjz6vA8MuSIIE96WeF4yc3OtV32gjoYqhYQSAqz-4R2-GP62kLgYkROQQyG7QnvPeWSgdqDHIQyuTK1aJYdj3MfER1qem23jE2vK45_1C6guCKzurtA-sMGq79Yu-g2eGxaxer-QE4IyjyqtgxKHc3C6hdt3ILFZfcy8adlKjjchQMoM6NiACW8kTUu6R4JaHRmbZ0o_yfxALgAcgZYtFp67Of9p65J9UFOdo0pjgXxpQ9FhERYuFJmjh4-jgIduI8fz6MuLe3HBDd81kIlOc7Cb5wzOOcc9RuriLaAVPPIHZMLriwT_FA4Ffmt3ha0cyn1uPRrN_L.Amoh1ZyVaNxY09o9pEImMFIl4wWGdVKHoTPTz88p6Io&amp;dib_tag=se&amp;keywords=300w+dc+to+dc&amp;qid=1741972592&amp;sprefix=%2Caps%2C451&amp;sr=8-2</t>
  </si>
  <si>
    <t>20A ANL Fuse</t>
  </si>
  <si>
    <t>Protects the inner circuitry.</t>
  </si>
  <si>
    <t>https://www.amazon.com/RENOGY-30A-ANL-Fuse-Holder/dp/B01LXQWZ7L/ref=sr_1_16?dib=eyJ2IjoiMSJ9.nrZQZTWjSaS4cFv9cj2BgkpgM23_y7ktZudKUIW7yECa7Cu6i5ivEn46pGWB4ks7w-YSJG_p-J77b1PyPnwkrWpg40sAxJPSJzQtSgYUwR6CReIunbbXl-pHi_GtBY2uYJDnxv7H_QTuDlvLJgT6uYp-Qu6pXkl-5ChLzB77QCwXkkcA07ehyy1IOi0WD5czptkiaOZ1HzND6oFFJfAcOXIL6TOEN8Qx2fcWWvmOBX4.uaj3WDmVlN3ujR22jfNIh7tRg03SMYZKFgXSqJ5Nj5o&amp;dib_tag=se&amp;keywords=30a%2Bmidi%2Bfuse&amp;qid=1784004301&amp;sr=8-16&amp;th=1</t>
  </si>
  <si>
    <t>Spade Terminal Connectors</t>
  </si>
  <si>
    <t>Allow for a solderless connection to the battery.</t>
  </si>
  <si>
    <t>https://www.amazon.com/Feggizuli-Connectors-Connector-Terminals-Electrical/dp/B0B4H54KPS/ref=sr_1_4?dib=eyJ2IjoiMSJ9.CVvdo6EF7ze2R0AkzW28ry6N9fK49AxNTq2t89fAwpXh-tQc9i64RBl9PYDzN20-yX5ldnOUlxJINvIQP6MDvlpFykTCx2qw8yN1Pm9JinRVHL1JEV00LBW1L8vnsE4PNOcYH6rXyp9nVR1QFG8FAwQhSDtGeWJQ8C7LJL65N8IDo5Qqc1UXfNmhdCX1pXs97AvSH71QQKMWWsXhjNnlu4eui0BXb8NXl1mpJTTh594.JmXgsq-dEpMzyZuNeTt627V5pdZydEWZBIATqZMj7-E&amp;dib_tag=se&amp;keywords=spade%2Blugs&amp;qid=1784005171&amp;sr=8-4&amp;th=1</t>
  </si>
  <si>
    <t>12 Gauge Wire</t>
  </si>
  <si>
    <t>Allow for power streaming over long-distance power injection.</t>
  </si>
  <si>
    <t>https://www.amazon.com/Voltage-Automotive-Primary-Security-Electrical/dp/B0D97CJYY7/ref=sr_1_2?crid=2H67LN1ASH9EG&amp;dib=eyJ2IjoiMSJ9.nV6RPufvoJOUrVZDqpxI1yLF0E3bcWZ9MSI66PFTk8XlU2kUqge1MpFQFrxCaBKBn2cfJXZxHXyLesviNPfEESuizSB9_2VqfgW9YQwZrige2GEjrwKzSeWGqDOLAlnnkgtoiUNcJEJxvVWmTnu3nJgQqsFYfSwiclhzfxLcWpZS1e19THpW2D6VPzkrIuVi_CsHByC2fhAUVNPJxY8t6Al07BkmRSwsvkYKAbuBZPhdjl8P0Ir3mdSecpc0Jilfsw8J38QEfbSqTwPIKgcW80eRhwvz-iZs4tS2rFwg_bg.gaI9t_ydGp7A655VS3Kku1_1o_HBW_xSfeMXOjCtw-4&amp;dib_tag=se&amp;keywords=12%2Bgauge%2Bwire%2Bwire&amp;qid=1784005555&amp;refinements=p_36%3A-1400&amp;rnid=1243644011&amp;sprefix=12%2Bgauge%2Bwire%2Bwir%2Caps%2C185&amp;sr=8-2&amp;th=1</t>
  </si>
  <si>
    <t>Rod-End Set</t>
  </si>
  <si>
    <t>Allows for the Differential Mechanism to function.</t>
  </si>
  <si>
    <t>https://www.amazon.com/Que-T-10pcs-Metal-Crawler-Silver/dp/B0828TMYLD/ref=sr_1_3?crid=1AARJPGNL8YC5&amp;dib=eyJ2IjoiMSJ9.25GIn2znsJjBiJbrFbJ6RUW1-1BAsb_r1tsz6yO00DjtFSx1fOCCVrsQLaRV9dTXLs2zxMTi4CGexlTgE83O3mVFewHAEQmj3PZlNBlO0q_z3uwE8GBAyM3_CtuA8ah_Rs6y955T_wUwnmdUKtLCThNdAlWf6yiM5xaVbXo_gcMS-_pmdyWmpv9fOJg_GSQJOfA2PWxxtjoyjYcUB5V3uUGSQ3auWvWvmfns23yVao4.hzakTEyXJOnyp5AQGqd9XCi0ydbJaDbCQBGtWv3YZ20&amp;dib_tag=se&amp;keywords=link%2Brod%2Bend%2Bball%2Bjoint%2B4%2Bpiece&amp;qid=1783658426&amp;s=toys-and-games&amp;sprefix=link%2Brod%2Bend%2Bball%2Bjoint%2B4%2Bpie%2Ctoys-and-games%2C177&amp;sr=1-3&amp;th=1</t>
  </si>
  <si>
    <t>M3 Screw/Nut Set</t>
  </si>
  <si>
    <t>Required for the multipart assembly.</t>
  </si>
  <si>
    <t>https://www.amazon.com/Fgruh-2300PCS-M3-Assortment-Washers/dp/B0FGX859K8/ref=sr_1_1_sspa?crid=2YVWNRET0VKSF&amp;dib=eyJ2IjoiMSJ9.ANkbzHGwyRZOvBwczPtlHoEZmR4sPNlcjaf1Q7S2YKlID-Pec4fgRzu3QDz9tFYVJsCbRuvjKwXyTs9X9JFJnD6Klbhn9fFouxjqhX9V6kut54inMk9Dr0nZK-5Jmc1HyCJ_Kv4upYsmzmMSwVhM2Nj9b0PiatjUxhSNenBknE42Lfyxhhb8plBIW0cru0CXojMseJnYq4zkkgPtkb-UyMa2Yqq9-mc50MVPGSNH-4Y.0lalIcag6K9Gq-lmKlkghQwMU7RAWLHzTSTYmGtRC3Q&amp;dib_tag=se&amp;keywords=M3%2Bscrew%2Bkit&amp;qid=1784052440&amp;sprefix=m3%2Bscrew%2Bki%2Caps%2C195&amp;sr=8-1-spons&amp;sp_csd=d2lkZ2V0TmFtZT1zcF9hdGY&amp;th=1</t>
  </si>
  <si>
    <t>Plumber's Tape</t>
  </si>
  <si>
    <t>Alternative to bushing, bridge the ASA with low frictional losses.</t>
  </si>
  <si>
    <t>https://www.amazon.com/Inches-Plumbers-Plumbing-Plumber-Sealing/dp/B0919T7JV1/ref=sr_1_1_sspa?crid=LBLF20S0AZTV&amp;dib=eyJ2IjoiMSJ9.2x2gv8Hk_f43I_I0J8tnhXvdIbK8x1nX5rrnGF2NIW5oR6XuE1FC9PkpD3YYCHhCAFD4wKZVdSdGVSxSWrhgPjThAOpeW3UXssY3LUvHDZajXHHEmCSKso-LCZsnAp9yW0CYuL-Lj1l2WxVs-nxaq_EgyrHCUZF3CEaSSYxqasNQfUMtQlJSuHrM5et8cvbi7ZG1JSnuGKIHvEBkXveuvNYu_hcEil_tyayCWS0Yu-o.c6Bvl7dKuMyQ5hCS6aiORYnVNvnEXBKEJQetWwQXKaw&amp;dib_tag=se&amp;keywords=ptfe%2Bthread%2Bseal%2Btape&amp;qid=1784052521&amp;sprefix=PTFE%2BThread%2BS%2Caps%2C189&amp;sr=8-1-spons&amp;sp_csd=d2lkZ2V0TmFtZT1zcF9hdGY&amp;th=1</t>
  </si>
  <si>
    <t>Heat-Set Inserts</t>
  </si>
  <si>
    <t>https://www.amazon.com/Threaded-Inserts-M3x5-7x4-6-Soldering-Materials/dp/B0D7M4WWBW/ref=sr_1_2?crid=2AY53B7BPLO3P&amp;dib=eyJ2IjoiMSJ9.qhVr3GzItqdyGznevXe_m_5tv0DYB4IDlsWQMjfRs9mQaqeDTwhDvwpfMQrB58dPpR_oZf3h6ql89xyiLifPCcVlqu0S9JJPBUDp2uEbmmqw6AZM4yjfspqP9_8Q6yYwjXa5akJxnaori0qFFaEInC8_O7iCCPpvSV-GJD2MSZ_CENO5ejYeNxv-9thzcWXP65oxjd0NC--WEyL2Y8-yRgLvVswtZGAURuOoElo5QRc.YvEag2aagGYK2JVxwnCyjp1bHjBx6kUYLld95mLCAvU&amp;dib_tag=se&amp;keywords=m3x5.7%2Bheat%2Bset%2Binserts&amp;qid=1784052695&amp;sprefix=m3x5.7%2Bheat%2Bset%2Binserts%2Caps%2C194&amp;sr=8-2&amp;th=1</t>
  </si>
  <si>
    <t>Soldering Tin</t>
  </si>
  <si>
    <t>Required for the stacking header soldering.</t>
  </si>
  <si>
    <t>https://www.amazon.com/MAIYUM-63-37-Solder-Electrical-Soldering/dp/B075WB98FJ/ref=sr_1_2_sspa?crid=6ATPKH4ZIWTS&amp;dib=eyJ2IjoiMSJ9.mR5sFJ9BxaWUBfuV5v3_4rZE5EcWhk3E1oZ5hWHaQY5IwzRYfv50X6-fC3vUB8NzE_03TEG9VpcqEB1p9jZXLDm1LakDXd7mHIUN7hahxBVyg6LFuE-gy8TAGvL0pGAH1C-WjxA7xg2gjWTW_l7ie_0JE_0TvzzL03QBspn-dd-lRLju22jBI1gI7Kbcwz60vuNxYn4FZLeVRQIId-tU8H8NXjz9d6iucCc6FPdGDoMkT3hylHiwHkgSxii6SIftZr3mceutpVzgJHS3-AAHxK-0Q73A-yr-c_nI1jpHT5A.8UDvNWK7bFdF2o2CGputQkD1insPh4ZLWLjNuDxwHhg&amp;dib_tag=se&amp;keywords=soldering%2Btin&amp;qid=1784068933&amp;sprefix=soldering%2Btin%2Caps%2C207&amp;sr=8-2-spons&amp;sp_csd=d2lkZ2V0TmFtZT1zcF9hdGY&amp;th=1</t>
  </si>
  <si>
    <t>Soldering Iron</t>
  </si>
  <si>
    <t>Required for the Heat-Set Inserts and the Soldering.</t>
  </si>
  <si>
    <t>Aliexpress</t>
  </si>
  <si>
    <t>https://www.aliexpress.us/item/3256809503461511.html?aff_fcid=73121207c1f54420aa7231706f6d897f-1784055401377-05592-_c2u0bvSH&amp;tt=CPS_NORMAL&amp;aff_fsk=_c2u0bvSH&amp;aff_platform=shareComponent-detail&amp;sk=_c2u0bvSH&amp;aff_trace_key=73121207c1f54420aa7231706f6d897f-1784055401377-05592-_c2u0bvSH&amp;terminal_id=a65ce401c1404b688451c0df68c74ddc&amp;afSmartRedirect=y&amp;gatewayAdapt=glo2usa#nav-specification</t>
  </si>
  <si>
    <t>Total:</t>
  </si>
  <si>
    <t>Total (*with taxes and shipping):</t>
  </si>
  <si>
    <r>
      <rPr>
        <rFont val="Playfair Display"/>
        <color theme="1"/>
      </rPr>
      <t xml:space="preserve">Total (*with taxes and shipping </t>
    </r>
    <r>
      <rPr>
        <rFont val="Playfair Display"/>
        <b/>
        <color theme="1"/>
      </rPr>
      <t>AND prints</t>
    </r>
    <r>
      <rPr>
        <rFont val="Playfair Display"/>
        <color theme="1"/>
      </rPr>
      <t>):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</si>
</sst>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5">
    <font>
      <sz val="10.0"/>
      <color rgb="FF000000"/>
      <name val="Arial"/>
      <scheme val="minor"/>
    </font>
    <font>
      <b/>
      <color theme="1"/>
      <name val="Playfair Display"/>
    </font>
    <font>
      <color theme="1"/>
      <name val="Playfair Display"/>
    </font>
    <font>
      <u/>
      <color rgb="FF0000FF"/>
      <name val="Playfair Display"/>
    </font>
    <font/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2" numFmtId="164" xfId="0" applyBorder="1" applyFont="1" applyNumberFormat="1"/>
    <xf borderId="1" fillId="0" fontId="2" numFmtId="164" xfId="0" applyAlignment="1" applyBorder="1" applyFont="1" applyNumberFormat="1">
      <alignment readingOrder="0"/>
    </xf>
    <xf borderId="2" fillId="0" fontId="2" numFmtId="0" xfId="0" applyAlignment="1" applyBorder="1" applyFon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5" fillId="2" fontId="2" numFmtId="0" xfId="0" applyAlignment="1" applyBorder="1" applyFont="1">
      <alignment horizontal="right" readingOrder="0"/>
    </xf>
    <xf borderId="6" fillId="0" fontId="4" numFmtId="0" xfId="0" applyBorder="1" applyFont="1"/>
    <xf borderId="7" fillId="0" fontId="4" numFmtId="0" xfId="0" applyBorder="1" applyFont="1"/>
    <xf borderId="1" fillId="2" fontId="2" numFmtId="164" xfId="0" applyBorder="1" applyFont="1" applyNumberFormat="1"/>
    <xf borderId="5" fillId="3" fontId="2" numFmtId="0" xfId="0" applyAlignment="1" applyBorder="1" applyFill="1" applyFont="1">
      <alignment horizontal="right" readingOrder="0"/>
    </xf>
    <xf borderId="1" fillId="3" fontId="2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mazon.ca/XLX-High-Power-Converter-Adjustable-Protection/dp/B081X5YX8V/ref=sr_1_2?crid=20LCX49KWPSVN&amp;dib=eyJ2IjoiMSJ9.tLqm_hBIhJ1SfbtpkfQ3uDIvpMZhJpko9_5rrw9mW7uT3XBDWbPaVursT136F9qnB7hGLlbpqCfZfM8lCOe21X0SMs2z5wzYVakJZza75DeUTY2FKM57t2bjz6vA8MuSIIE96WeF4yc3OtV32gjoYqhYQSAqz-4R2-GP62kLgYkROQQyG7QnvPeWSgdqDHIQyuTK1aJYdj3MfER1qem23jE2vK45_1C6guCKzurtA-sMGq79Yu-g2eGxaxer-QE4IyjyqtgxKHc3C6hdt3ILFZfcy8adlKjjchQMoM6NiACW8kTUu6R4JaHRmbZ0o_yfxALgAcgZYtFp67Of9p65J9UFOdo0pjgXxpQ9FhERYuFJmjh4-jgIduI8fz6MuLe3HBDd81kIlOc7Cb5wzOOcc9RuriLaAVPPIHZMLriwT_FA4Ffmt3ha0cyn1uPRrN_L.Amoh1ZyVaNxY09o9pEImMFIl4wWGdVKHoTPTz88p6Io&amp;dib_tag=se&amp;keywords=300w+dc+to+dc&amp;qid=1741972592&amp;sprefix=%2Caps%2C451&amp;sr=8-2" TargetMode="External"/><Relationship Id="rId22" Type="http://schemas.openxmlformats.org/officeDocument/2006/relationships/hyperlink" Target="https://www.amazon.com/Feggizuli-Connectors-Connector-Terminals-Electrical/dp/B0B4H54KPS/ref=sr_1_4?dib=eyJ2IjoiMSJ9.CVvdo6EF7ze2R0AkzW28ry6N9fK49AxNTq2t89fAwpXh-tQc9i64RBl9PYDzN20-yX5ldnOUlxJINvIQP6MDvlpFykTCx2qw8yN1Pm9JinRVHL1JEV00LBW1L8vnsE4PNOcYH6rXyp9nVR1QFG8FAwQhSDtGeWJQ8C7LJL65N8IDo5Qqc1UXfNmhdCX1pXs97AvSH71QQKMWWsXhjNnlu4eui0BXb8NXl1mpJTTh594.JmXgsq-dEpMzyZuNeTt627V5pdZydEWZBIATqZMj7-E&amp;dib_tag=se&amp;keywords=spade%2Blugs&amp;qid=1784005171&amp;sr=8-4&amp;th=1" TargetMode="External"/><Relationship Id="rId21" Type="http://schemas.openxmlformats.org/officeDocument/2006/relationships/hyperlink" Target="https://www.amazon.com/RENOGY-30A-ANL-Fuse-Holder/dp/B01LXQWZ7L/ref=sr_1_16?dib=eyJ2IjoiMSJ9.nrZQZTWjSaS4cFv9cj2BgkpgM23_y7ktZudKUIW7yECa7Cu6i5ivEn46pGWB4ks7w-YSJG_p-J77b1PyPnwkrWpg40sAxJPSJzQtSgYUwR6CReIunbbXl-pHi_GtBY2uYJDnxv7H_QTuDlvLJgT6uYp-Qu6pXkl-5ChLzB77QCwXkkcA07ehyy1IOi0WD5czptkiaOZ1HzND6oFFJfAcOXIL6TOEN8Qx2fcWWvmOBX4.uaj3WDmVlN3ujR22jfNIh7tRg03SMYZKFgXSqJ5Nj5o&amp;dib_tag=se&amp;keywords=30a%2Bmidi%2Bfuse&amp;qid=1784004301&amp;sr=8-16&amp;th=1" TargetMode="External"/><Relationship Id="rId24" Type="http://schemas.openxmlformats.org/officeDocument/2006/relationships/hyperlink" Target="https://www.amazon.com/Que-T-10pcs-Metal-Crawler-Silver/dp/B0828TMYLD/ref=sr_1_3?crid=1AARJPGNL8YC5&amp;dib=eyJ2IjoiMSJ9.25GIn2znsJjBiJbrFbJ6RUW1-1BAsb_r1tsz6yO00DjtFSx1fOCCVrsQLaRV9dTXLs2zxMTi4CGexlTgE83O3mVFewHAEQmj3PZlNBlO0q_z3uwE8GBAyM3_CtuA8ah_Rs6y955T_wUwnmdUKtLCThNdAlWf6yiM5xaVbXo_gcMS-_pmdyWmpv9fOJg_GSQJOfA2PWxxtjoyjYcUB5V3uUGSQ3auWvWvmfns23yVao4.hzakTEyXJOnyp5AQGqd9XCi0ydbJaDbCQBGtWv3YZ20&amp;dib_tag=se&amp;keywords=link%2Brod%2Bend%2Bball%2Bjoint%2B4%2Bpiece&amp;qid=1783658426&amp;s=toys-and-games&amp;sprefix=link%2Brod%2Bend%2Bball%2Bjoint%2B4%2Bpie%2Ctoys-and-games%2C177&amp;sr=1-3&amp;th=1" TargetMode="External"/><Relationship Id="rId23" Type="http://schemas.openxmlformats.org/officeDocument/2006/relationships/hyperlink" Target="https://www.amazon.com/Voltage-Automotive-Primary-Security-Electrical/dp/B0D97CJYY7/ref=sr_1_2?crid=2H67LN1ASH9EG&amp;dib=eyJ2IjoiMSJ9.nV6RPufvoJOUrVZDqpxI1yLF0E3bcWZ9MSI66PFTk8XlU2kUqge1MpFQFrxCaBKBn2cfJXZxHXyLesviNPfEESuizSB9_2VqfgW9YQwZrige2GEjrwKzSeWGqDOLAlnnkgtoiUNcJEJxvVWmTnu3nJgQqsFYfSwiclhzfxLcWpZS1e19THpW2D6VPzkrIuVi_CsHByC2fhAUVNPJxY8t6Al07BkmRSwsvkYKAbuBZPhdjl8P0Ir3mdSecpc0Jilfsw8J38QEfbSqTwPIKgcW80eRhwvz-iZs4tS2rFwg_bg.gaI9t_ydGp7A655VS3Kku1_1o_HBW_xSfeMXOjCtw-4&amp;dib_tag=se&amp;keywords=12%2Bgauge%2Bwire%2Bwire&amp;qid=1784005555&amp;refinements=p_36%3A-1400&amp;rnid=1243644011&amp;sprefix=12%2Bgauge%2Bwire%2Bwir%2Caps%2C185&amp;sr=8-2&amp;th=1" TargetMode="External"/><Relationship Id="rId1" Type="http://schemas.openxmlformats.org/officeDocument/2006/relationships/hyperlink" Target="https://shop.wowrobo.com/products/feetech-sts3215-servo-12v-30kg-high-torque-servo-for-so-arm100?variant=48037575098585" TargetMode="External"/><Relationship Id="rId2" Type="http://schemas.openxmlformats.org/officeDocument/2006/relationships/hyperlink" Target="https://aaawave.com/products/raspberry-pi-5-development-broad?variant=51441087152449" TargetMode="External"/><Relationship Id="rId3" Type="http://schemas.openxmlformats.org/officeDocument/2006/relationships/hyperlink" Target="https://www.sandisk.com/products/memory-cards/microsd-cards/sandisk-extreme-uhs-i-microsd?sku=SDSQXAH-064G-GN6MA&amp;ef_id=CjwKCAjw08fSBhA7EiwAfbQTsPx3cN8aB8uRMxURR1R-_cF_jo6hdMXSVhwkk3xbFUuyQjc5Nw6JhhoCvhoQAvD_BwE:G:s&amp;s_kwcid=AL!15012!3!!!!x!!!21840826498!&amp;utm_medium=pdsh2&amp;utm_source=gads&amp;utm_campaign=Google-B2C-Conversion-Pmax-NA-US-EN-Memory_Card-All-All-Brand&amp;utm_content=&amp;utm_term=SDSQXAH-064G-GN6MA&amp;cp2=&amp;gad_source=1&amp;gad_campaignid=21836907008&amp;gbraid=0AAAAA-HVYqlJmcvXP8ef7hgjz_7GGBe63&amp;gclid=CjwKCAjw08fSBhA7EiwAfbQTsPx3cN8aB8uRMxURR1R-_cF_jo6hdMXSVhwkk3xbFUuyQjc5Nw6JhhoCvhoQAvD_BwE" TargetMode="External"/><Relationship Id="rId4" Type="http://schemas.openxmlformats.org/officeDocument/2006/relationships/hyperlink" Target="https://www.waveshare.com/pi5-active-cooler-b.htm?srsltid=AfmBOorIETeNn6eYTmvhfjgxaVe1lQFtRIerl5n4vl6x1gulRuQlPhX_72c" TargetMode="External"/><Relationship Id="rId9" Type="http://schemas.openxmlformats.org/officeDocument/2006/relationships/hyperlink" Target="https://www.adafruit.com/product/2223?srsltid=AfmBOorZS7ULUgY6qKUJ5o-jUqtQg7W5RX7llEZ9OVBLOYnNy2c10-HJ" TargetMode="External"/><Relationship Id="rId26" Type="http://schemas.openxmlformats.org/officeDocument/2006/relationships/hyperlink" Target="https://www.amazon.com/Inches-Plumbers-Plumbing-Plumber-Sealing/dp/B0919T7JV1/ref=sr_1_1_sspa?crid=LBLF20S0AZTV&amp;dib=eyJ2IjoiMSJ9.2x2gv8Hk_f43I_I0J8tnhXvdIbK8x1nX5rrnGF2NIW5oR6XuE1FC9PkpD3YYCHhCAFD4wKZVdSdGVSxSWrhgPjThAOpeW3UXssY3LUvHDZajXHHEmCSKso-LCZsnAp9yW0CYuL-Lj1l2WxVs-nxaq_EgyrHCUZF3CEaSSYxqasNQfUMtQlJSuHrM5et8cvbi7ZG1JSnuGKIHvEBkXveuvNYu_hcEil_tyayCWS0Yu-o.c6Bvl7dKuMyQ5hCS6aiORYnVNvnEXBKEJQetWwQXKaw&amp;dib_tag=se&amp;keywords=ptfe%2Bthread%2Bseal%2Btape&amp;qid=1784052521&amp;sprefix=PTFE%2BThread%2BS%2Caps%2C189&amp;sr=8-1-spons&amp;sp_csd=d2lkZ2V0TmFtZT1zcF9hdGY&amp;th=1" TargetMode="External"/><Relationship Id="rId25" Type="http://schemas.openxmlformats.org/officeDocument/2006/relationships/hyperlink" Target="https://www.amazon.com/Fgruh-2300PCS-M3-Assortment-Washers/dp/B0FGX859K8/ref=sr_1_1_sspa?crid=2YVWNRET0VKSF&amp;dib=eyJ2IjoiMSJ9.ANkbzHGwyRZOvBwczPtlHoEZmR4sPNlcjaf1Q7S2YKlID-Pec4fgRzu3QDz9tFYVJsCbRuvjKwXyTs9X9JFJnD6Klbhn9fFouxjqhX9V6kut54inMk9Dr0nZK-5Jmc1HyCJ_Kv4upYsmzmMSwVhM2Nj9b0PiatjUxhSNenBknE42Lfyxhhb8plBIW0cru0CXojMseJnYq4zkkgPtkb-UyMa2Yqq9-mc50MVPGSNH-4Y.0lalIcag6K9Gq-lmKlkghQwMU7RAWLHzTSTYmGtRC3Q&amp;dib_tag=se&amp;keywords=M3%2Bscrew%2Bkit&amp;qid=1784052440&amp;sprefix=m3%2Bscrew%2Bki%2Caps%2C195&amp;sr=8-1-spons&amp;sp_csd=d2lkZ2V0TmFtZT1zcF9hdGY&amp;th=1" TargetMode="External"/><Relationship Id="rId28" Type="http://schemas.openxmlformats.org/officeDocument/2006/relationships/hyperlink" Target="https://www.amazon.com/MAIYUM-63-37-Solder-Electrical-Soldering/dp/B075WB98FJ/ref=sr_1_2_sspa?crid=6ATPKH4ZIWTS&amp;dib=eyJ2IjoiMSJ9.mR5sFJ9BxaWUBfuV5v3_4rZE5EcWhk3E1oZ5hWHaQY5IwzRYfv50X6-fC3vUB8NzE_03TEG9VpcqEB1p9jZXLDm1LakDXd7mHIUN7hahxBVyg6LFuE-gy8TAGvL0pGAH1C-WjxA7xg2gjWTW_l7ie_0JE_0TvzzL03QBspn-dd-lRLju22jBI1gI7Kbcwz60vuNxYn4FZLeVRQIId-tU8H8NXjz9d6iucCc6FPdGDoMkT3hylHiwHkgSxii6SIftZr3mceutpVzgJHS3-AAHxK-0Q73A-yr-c_nI1jpHT5A.8UDvNWK7bFdF2o2CGputQkD1insPh4ZLWLjNuDxwHhg&amp;dib_tag=se&amp;keywords=soldering%2Btin&amp;qid=1784068933&amp;sprefix=soldering%2Btin%2Caps%2C207&amp;sr=8-2-spons&amp;sp_csd=d2lkZ2V0TmFtZT1zcF9hdGY&amp;th=1" TargetMode="External"/><Relationship Id="rId27" Type="http://schemas.openxmlformats.org/officeDocument/2006/relationships/hyperlink" Target="https://www.amazon.com/Threaded-Inserts-M3x5-7x4-6-Soldering-Materials/dp/B0D7M4WWBW/ref=sr_1_2?crid=2AY53B7BPLO3P&amp;dib=eyJ2IjoiMSJ9.qhVr3GzItqdyGznevXe_m_5tv0DYB4IDlsWQMjfRs9mQaqeDTwhDvwpfMQrB58dPpR_oZf3h6ql89xyiLifPCcVlqu0S9JJPBUDp2uEbmmqw6AZM4yjfspqP9_8Q6yYwjXa5akJxnaori0qFFaEInC8_O7iCCPpvSV-GJD2MSZ_CENO5ejYeNxv-9thzcWXP65oxjd0NC--WEyL2Y8-yRgLvVswtZGAURuOoElo5QRc.YvEag2aagGYK2JVxwnCyjp1bHjBx6kUYLld95mLCAvU&amp;dib_tag=se&amp;keywords=m3x5.7%2Bheat%2Bset%2Binserts&amp;qid=1784052695&amp;sprefix=m3x5.7%2Bheat%2Bset%2Binserts%2Caps%2C194&amp;sr=8-2&amp;th=1" TargetMode="External"/><Relationship Id="rId5" Type="http://schemas.openxmlformats.org/officeDocument/2006/relationships/hyperlink" Target="https://www.waveshare.com/bus-servo-driver-hat-a.htm?srsltid=AfmBOoqlVvUrJe6M87IZNdOID4P7R1Pltj9HDUx99dEpqoArwkGcl-Qk" TargetMode="External"/><Relationship Id="rId6" Type="http://schemas.openxmlformats.org/officeDocument/2006/relationships/hyperlink" Target="https://www.adafruit.com/product/6009?src=raspberrypi" TargetMode="External"/><Relationship Id="rId29" Type="http://schemas.openxmlformats.org/officeDocument/2006/relationships/hyperlink" Target="https://www.aliexpress.us/item/3256809503461511.html?aff_fcid=73121207c1f54420aa7231706f6d897f-1784055401377-05592-_c2u0bvSH&amp;tt=CPS_NORMAL&amp;aff_fsk=_c2u0bvSH&amp;aff_platform=shareComponent-detail&amp;sk=_c2u0bvSH&amp;aff_trace_key=73121207c1f54420aa7231706f6d897f-1784055401377-05592-_c2u0bvSH&amp;terminal_id=a65ce401c1404b688451c0df68c74ddc&amp;afSmartRedirect=y&amp;gatewayAdapt=glo2usa" TargetMode="External"/><Relationship Id="rId7" Type="http://schemas.openxmlformats.org/officeDocument/2006/relationships/hyperlink" Target="https://www.adafruit.com/product/5820?srsltid=AfmBOoq0_7Ll8hyILvBrmsxwfYfdwfZmTf9yRLH91rP_sw95HGtR5fxP" TargetMode="External"/><Relationship Id="rId8" Type="http://schemas.openxmlformats.org/officeDocument/2006/relationships/hyperlink" Target="https://www.adafruit.com/product/4019?srsltid=AfmBOopqUSDoBiL8bs7c9R5A7LaGi7uTEd9SzVgCAapdYCJEvjR4OtMU" TargetMode="External"/><Relationship Id="rId30" Type="http://schemas.openxmlformats.org/officeDocument/2006/relationships/drawing" Target="../drawings/drawing1.xml"/><Relationship Id="rId11" Type="http://schemas.openxmlformats.org/officeDocument/2006/relationships/hyperlink" Target="https://www.electromaker.io/shop/product/stemma-jst-ph-3-pin-to-female-socket-cable-200mm?srsltid=AfmBOoor4qgoh85r9CTrWn--_YdJ4-AS2ky31nekim2vtHqDZs7TjVwO" TargetMode="External"/><Relationship Id="rId10" Type="http://schemas.openxmlformats.org/officeDocument/2006/relationships/hyperlink" Target="https://www.adafruit.com/product/3893" TargetMode="External"/><Relationship Id="rId13" Type="http://schemas.openxmlformats.org/officeDocument/2006/relationships/hyperlink" Target="https://www.amazon.com/Navigation-External-Receiver-Raspberry-Geekstory/dp/B078Y52FGQ" TargetMode="External"/><Relationship Id="rId12" Type="http://schemas.openxmlformats.org/officeDocument/2006/relationships/hyperlink" Target="https://www.amazon.com/uxcell-F6901ZZ-Flanged-Bearings-Shielded/dp/B0G1B7H48R/ref=sr_1_7_sspa?crid=JAA7EEQB1MK7&amp;dib=eyJ2IjoiMSJ9.R1GqknQKbk72D7fqKNiJSMeJp6OfUFJRV-qDMKi818pFJDLXGO_XdT_rhyIzrHWJk2wbelVzPU70FqVyDpzP-Feax62ltJ_eKAzW5nWuN1STHdQqcb7WJ79plJJCxsRJ1ALduwgs_r0YmUlzOdq8qroO7Jw9k8oAqu6BgwqOnaYbAmC5d1s8QRifY_2G44-VF3vkcmfMcHVgk9FyFk3OYzoqWe0WpJWWW4tZlaOnexg.eBaMTTB-rTQsRDvsGLDvSYWbIMnxBuEiB6NS4SVBoyI&amp;dib_tag=se&amp;keywords=flanged%2Bbearings%2B5%2Bpack&amp;qid=1783280410&amp;sprefix=flanged%2Bbearings%2Bpack%2Caps%2C262&amp;sr=8-7-spons&amp;sp_csd=d2lkZ2V0TmFtZT1zcF9tdGY&amp;th=1" TargetMode="External"/><Relationship Id="rId15" Type="http://schemas.openxmlformats.org/officeDocument/2006/relationships/hyperlink" Target="https://www.amazon.com/dp/B078962VRM/ref=sspa_dk_detail_5?pd_rd_i=B078962VRM&amp;pd_rd_w=kG1K0&amp;content-id=amzn1.sym.3bc66c0a-cc61-4816-aa2d-e53327eaddb6&amp;pf_rd_p=3bc66c0a-cc61-4816-aa2d-e53327eaddb6&amp;pf_rd_r=2EN17ZGB62S0Y7BY4V2A&amp;pd_rd_wg=lniO8&amp;pd_rd_r=9ebd6d83-6c69-4011-8045-51052e2f7a57&amp;s=automotive&amp;sp_csd=d2lkZ2V0TmFtZT1zcF9kZXRhaWxfdGhlbWF0aWM&amp;th=1" TargetMode="External"/><Relationship Id="rId14" Type="http://schemas.openxmlformats.org/officeDocument/2006/relationships/hyperlink" Target="https://www.amazon.com/12-8V-20Ah-LiFePO4-Battery-Lithium/dp/B0DHKS1GK6/ref=sr_1_1?dib=eyJ2IjoiMSJ9.y_BB4ZUVDy_P1iab0mtJLrdIAZYM7q4WCWsY8scMLNXGjHj071QN20LucGBJIEps.JQbr0-LXd9MNLlsY3c5s25VIblkiRtRJFjGmbfGUKEM&amp;dib_tag=se&amp;keywords=%2FOKMO-LiFePO4-Lithium-Battery-rechargeable&amp;qid=1784523658&amp;sr=8-1&amp;th=1" TargetMode="External"/><Relationship Id="rId17" Type="http://schemas.openxmlformats.org/officeDocument/2006/relationships/hyperlink" Target="https://www.amazon.com/EDGELEC-Breadboard-Optional-Assorted-Multicolored/dp/B07GD2PGY4/ref=sr_1_6?crid=2MK7NBH14YLRW&amp;dib=eyJ2IjoiMSJ9.VcNFeYpulSX_NTIy1KXkQrXvpn6LZSIWc9lS_Ok37UfSvTtKNV0iZRr48lrFz1mfAQKtSV08kj8JXmJ1U4Hm3Xi30wpAyGGZO3uCR-MyQUmyuoBPgXhsf-6I3yUFnwslJNjPZHQzrD2J-fUtnB50ubBnhmm92eWjzZIUgoZXMWFWLp7VIpYzO1PulMBNa8OdLgpiG-pPArEEUmu08BtavHrZVdjA9-_YJTzRZ4HgP7oYeBuZjl0EU-WrZWpD3xqALtq3uxBeCZnLgWwgbFf61NYgXSDwIGsAeVvT6ajnJlY._mN2kkYH5lxd7vxJgQBMzo2gb675SdWwM4LYCtG7djI&amp;dib_tag=se&amp;keywords=22awg%2Bjumpers&amp;qid=1784002567&amp;s=industrial&amp;sprefix=22awg%2Bjumper%2Cindustrial%2C198&amp;sr=1-6&amp;th=1" TargetMode="External"/><Relationship Id="rId16" Type="http://schemas.openxmlformats.org/officeDocument/2006/relationships/hyperlink" Target="https://www.amazon.com/WAGO-221-415-Lever-Nuts-5-Conductor-Connectors/dp/B07WC2XBMK/ref=sr_1_3?crid=1Y4UMK72IU0KE&amp;dib=eyJ2IjoiMSJ9.50o6xZpoqDlZ8omkj13aOe-52ADZqlJZZ2HGRZV4G4sneYPQ6xb_DikSp8RpcvN0DBk1a2v8dxq49XrN42W7LNnGjXFtq3y7xIgZs4NvUIWvWIJKZc9qG3yGzRI2wOlqaU5Bq8IAe7SasYoGuYs8V0DrRtKQFN6qGFsemjZ61LskeQYL5cqHR_CbSxLIchTa14ECuUnqwtLHJ-u1zsCXml__pUhmvqrxciWPZMJAhzA.pDMg2Rr-C8xadz-czjb1gaTF1LNnv2UsXZDu2epE-r4&amp;dib_tag=se&amp;keywords=WAGO%2B221-415%2B10PK&amp;qid=1784002188&amp;sprefix=wago%2B221-415%2B10pk%2Caps%2C255&amp;sr=8-3&amp;th=1" TargetMode="External"/><Relationship Id="rId19" Type="http://schemas.openxmlformats.org/officeDocument/2006/relationships/hyperlink" Target="https://www.amazon.com/QWORK-Shrink-Shrinking-Wrapping-Embossing/dp/B09NDCCW29/ref=sr_1_3?crid=JSMJGQAUFLIQ&amp;dib=eyJ2IjoiMSJ9._2pPUDN-2QN4OWnmmr95xqMJ6kXv7JzC_PSDlbsZikB5YbcPTkAZG1rDhiU8cYAdRblHnC-uN9SGoVyM3U8QaohoK9ZDk5lPGX2t7mLg00d_To9UKuM7QXjGAxSKfCsVvLVcKJH4tsZIGD-ekZE2NCC1_iLFh15Y9ngUKkuJH6u-W8z1ae7jNmB3SiclTfZbTmyxRMyivZ6BkUeUKiDQJtjq5rDcI8r-zgE4zUZq7rVt8RXI_HNnlARe2HODvHHom9sfYW06SztT2ATYIEpIyE4slHSQJGrXrt4HJvUGTBM.NgbO58wXg-6rgtpzltpqgsphAqcnyzOX2xPuvYC7r_g&amp;dib_tag=se&amp;keywords=heat+shrink+with+heater&amp;qid=1784003425&amp;s=hi&amp;sprefix=heat+shrink+with+heate%2Ctools%2C190&amp;sr=1-3" TargetMode="External"/><Relationship Id="rId18" Type="http://schemas.openxmlformats.org/officeDocument/2006/relationships/hyperlink" Target="https://www.amazon.com/Eventronic-560-Heat-Shrink-Tubing/dp/B0DK15C58W/ref=sr_1_1_sspa?crid=3AQV12YEFCV1T&amp;dib=eyJ2IjoiMSJ9.V0KdFk2gUHHbWIfdfVHi0mLaixxYhdknsOWFBFNOTVXiwW1Vhc6zYarqKzwzIoN_30Fp4M07VOVphQ8paklFXEqzbX6TKRATQ-mLDmjSRYSM0Go_qy78nYqSn_62AEAnSgOoxx_89LbiLEXvHigCLo4vb3icg1m4uYylMz3ma77KAtUOfHzapp3BQh9z8OSp47NeDZ7Hw1yLNCGXkgO4J6nuznGfW-TwG-SxqEPwlkUZygbjfL5N32Dm5YJxS2C7T6YJ3O6PGnp2PxtpXZD-D39CAELMpBgdMILF6fzTRxY.5GvARFr_xOI4ByuMr66gOGRyFWwu0uYEI7lfnXCKQP8&amp;dib_tag=se&amp;keywords=heat+shrink&amp;qid=1784003412&amp;s=hi&amp;sprefix=heat+shrink%2Ctools%2C193&amp;sr=1-1-spons&amp;sp_csd=d2lkZ2V0TmFtZT1zcF9hdGY&amp;psc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29.0"/>
    <col customWidth="1" min="3" max="3" width="65.0"/>
    <col customWidth="1" min="4" max="4" width="12.63"/>
    <col customWidth="1" min="5" max="5" width="25.13"/>
    <col customWidth="1" min="6" max="6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12.0</v>
      </c>
      <c r="B2" s="2" t="s">
        <v>6</v>
      </c>
      <c r="C2" s="2" t="s">
        <v>7</v>
      </c>
      <c r="D2" s="2" t="s">
        <v>8</v>
      </c>
      <c r="E2" s="3" t="s">
        <v>9</v>
      </c>
      <c r="F2" s="4">
        <f>139.9+15.99*2</f>
        <v>171.88</v>
      </c>
    </row>
    <row r="3">
      <c r="A3" s="2">
        <v>1.0</v>
      </c>
      <c r="B3" s="2" t="s">
        <v>10</v>
      </c>
      <c r="C3" s="2" t="s">
        <v>11</v>
      </c>
      <c r="D3" s="2" t="s">
        <v>12</v>
      </c>
      <c r="E3" s="3" t="s">
        <v>13</v>
      </c>
      <c r="F3" s="5">
        <v>150.0</v>
      </c>
    </row>
    <row r="4">
      <c r="A4" s="2">
        <v>1.0</v>
      </c>
      <c r="B4" s="2" t="s">
        <v>14</v>
      </c>
      <c r="C4" s="2" t="s">
        <v>15</v>
      </c>
      <c r="D4" s="2" t="s">
        <v>16</v>
      </c>
      <c r="E4" s="3" t="s">
        <v>17</v>
      </c>
      <c r="F4" s="5">
        <v>25.99</v>
      </c>
    </row>
    <row r="5">
      <c r="A5" s="2">
        <v>1.0</v>
      </c>
      <c r="B5" s="2" t="s">
        <v>18</v>
      </c>
      <c r="C5" s="2" t="s">
        <v>19</v>
      </c>
      <c r="D5" s="6" t="s">
        <v>20</v>
      </c>
      <c r="E5" s="3" t="s">
        <v>21</v>
      </c>
      <c r="F5" s="5">
        <v>4.99</v>
      </c>
    </row>
    <row r="6">
      <c r="A6" s="2">
        <v>1.0</v>
      </c>
      <c r="B6" s="2" t="s">
        <v>22</v>
      </c>
      <c r="C6" s="2" t="s">
        <v>23</v>
      </c>
      <c r="D6" s="7"/>
      <c r="E6" s="3" t="s">
        <v>24</v>
      </c>
      <c r="F6" s="5">
        <v>18.99</v>
      </c>
    </row>
    <row r="7">
      <c r="A7" s="2">
        <v>1.0</v>
      </c>
      <c r="B7" s="2" t="s">
        <v>25</v>
      </c>
      <c r="C7" s="2" t="s">
        <v>26</v>
      </c>
      <c r="D7" s="6" t="s">
        <v>27</v>
      </c>
      <c r="E7" s="3" t="s">
        <v>28</v>
      </c>
      <c r="F7" s="5">
        <v>77.0</v>
      </c>
    </row>
    <row r="8">
      <c r="A8" s="2">
        <v>1.0</v>
      </c>
      <c r="B8" s="2" t="s">
        <v>29</v>
      </c>
      <c r="C8" s="2" t="s">
        <v>30</v>
      </c>
      <c r="D8" s="8"/>
      <c r="E8" s="3" t="s">
        <v>31</v>
      </c>
      <c r="F8" s="5">
        <v>2.5</v>
      </c>
    </row>
    <row r="9">
      <c r="A9" s="2">
        <v>3.0</v>
      </c>
      <c r="B9" s="2" t="s">
        <v>32</v>
      </c>
      <c r="C9" s="2" t="s">
        <v>33</v>
      </c>
      <c r="D9" s="8"/>
      <c r="E9" s="3" t="s">
        <v>34</v>
      </c>
      <c r="F9" s="5">
        <f>6.95*3</f>
        <v>20.85</v>
      </c>
    </row>
    <row r="10">
      <c r="A10" s="2">
        <v>1.0</v>
      </c>
      <c r="B10" s="2" t="s">
        <v>35</v>
      </c>
      <c r="C10" s="2" t="s">
        <v>36</v>
      </c>
      <c r="D10" s="8"/>
      <c r="E10" s="3" t="s">
        <v>37</v>
      </c>
      <c r="F10" s="5">
        <v>2.95</v>
      </c>
    </row>
    <row r="11">
      <c r="A11" s="2">
        <v>12.0</v>
      </c>
      <c r="B11" s="2" t="s">
        <v>38</v>
      </c>
      <c r="C11" s="2" t="s">
        <v>39</v>
      </c>
      <c r="D11" s="7"/>
      <c r="E11" s="3" t="s">
        <v>40</v>
      </c>
      <c r="F11" s="4">
        <f>1.25*12</f>
        <v>15</v>
      </c>
    </row>
    <row r="12">
      <c r="A12" s="2">
        <v>12.0</v>
      </c>
      <c r="B12" s="2" t="s">
        <v>41</v>
      </c>
      <c r="C12" s="2" t="s">
        <v>42</v>
      </c>
      <c r="D12" s="2" t="s">
        <v>43</v>
      </c>
      <c r="E12" s="3" t="s">
        <v>44</v>
      </c>
      <c r="F12" s="5">
        <v>15.0</v>
      </c>
    </row>
    <row r="13">
      <c r="A13" s="2">
        <v>1.0</v>
      </c>
      <c r="B13" s="2" t="s">
        <v>45</v>
      </c>
      <c r="C13" s="2" t="s">
        <v>46</v>
      </c>
      <c r="D13" s="6" t="s">
        <v>47</v>
      </c>
      <c r="E13" s="3" t="s">
        <v>48</v>
      </c>
      <c r="F13" s="5">
        <v>7.82</v>
      </c>
    </row>
    <row r="14">
      <c r="A14" s="2">
        <v>1.0</v>
      </c>
      <c r="B14" s="2" t="s">
        <v>49</v>
      </c>
      <c r="C14" s="2" t="s">
        <v>50</v>
      </c>
      <c r="D14" s="8"/>
      <c r="E14" s="3" t="s">
        <v>51</v>
      </c>
      <c r="F14" s="5">
        <v>17.98</v>
      </c>
    </row>
    <row r="15">
      <c r="A15" s="2">
        <v>1.0</v>
      </c>
      <c r="B15" s="2" t="s">
        <v>52</v>
      </c>
      <c r="C15" s="2" t="s">
        <v>53</v>
      </c>
      <c r="D15" s="8"/>
      <c r="E15" s="3" t="s">
        <v>54</v>
      </c>
      <c r="F15" s="5">
        <v>53.19</v>
      </c>
    </row>
    <row r="16">
      <c r="A16" s="2">
        <v>1.0</v>
      </c>
      <c r="B16" s="2" t="s">
        <v>55</v>
      </c>
      <c r="C16" s="2" t="s">
        <v>56</v>
      </c>
      <c r="D16" s="8"/>
      <c r="E16" s="3" t="s">
        <v>57</v>
      </c>
      <c r="F16" s="5">
        <v>25.07</v>
      </c>
    </row>
    <row r="17">
      <c r="A17" s="2">
        <v>1.0</v>
      </c>
      <c r="B17" s="2" t="s">
        <v>58</v>
      </c>
      <c r="C17" s="2" t="s">
        <v>59</v>
      </c>
      <c r="D17" s="8"/>
      <c r="E17" s="3" t="s">
        <v>60</v>
      </c>
      <c r="F17" s="5">
        <v>17.99</v>
      </c>
    </row>
    <row r="18">
      <c r="A18" s="2">
        <v>1.0</v>
      </c>
      <c r="B18" s="2" t="s">
        <v>61</v>
      </c>
      <c r="C18" s="2" t="s">
        <v>62</v>
      </c>
      <c r="D18" s="8"/>
      <c r="E18" s="3" t="s">
        <v>63</v>
      </c>
      <c r="F18" s="5">
        <v>8.99</v>
      </c>
    </row>
    <row r="19">
      <c r="A19" s="2">
        <v>1.0</v>
      </c>
      <c r="B19" s="2" t="s">
        <v>64</v>
      </c>
      <c r="C19" s="2" t="s">
        <v>65</v>
      </c>
      <c r="D19" s="8"/>
      <c r="E19" s="3" t="s">
        <v>66</v>
      </c>
      <c r="F19" s="5">
        <v>13.59</v>
      </c>
    </row>
    <row r="20">
      <c r="A20" s="2">
        <v>1.0</v>
      </c>
      <c r="B20" s="2" t="s">
        <v>67</v>
      </c>
      <c r="C20" s="2" t="s">
        <v>68</v>
      </c>
      <c r="D20" s="8"/>
      <c r="E20" s="3" t="s">
        <v>69</v>
      </c>
      <c r="F20" s="5">
        <v>8.72</v>
      </c>
    </row>
    <row r="21">
      <c r="A21" s="2">
        <v>2.0</v>
      </c>
      <c r="B21" s="2" t="s">
        <v>70</v>
      </c>
      <c r="C21" s="2" t="s">
        <v>71</v>
      </c>
      <c r="D21" s="8"/>
      <c r="E21" s="3" t="s">
        <v>72</v>
      </c>
      <c r="F21" s="4">
        <f>15.99*2</f>
        <v>31.98</v>
      </c>
    </row>
    <row r="22">
      <c r="A22" s="2">
        <v>1.0</v>
      </c>
      <c r="B22" s="2" t="s">
        <v>73</v>
      </c>
      <c r="C22" s="2" t="s">
        <v>74</v>
      </c>
      <c r="D22" s="8"/>
      <c r="E22" s="3" t="s">
        <v>75</v>
      </c>
      <c r="F22" s="5">
        <v>12.99</v>
      </c>
    </row>
    <row r="23">
      <c r="A23" s="2">
        <v>1.0</v>
      </c>
      <c r="B23" s="2" t="s">
        <v>76</v>
      </c>
      <c r="C23" s="2" t="s">
        <v>77</v>
      </c>
      <c r="D23" s="8"/>
      <c r="E23" s="3" t="s">
        <v>78</v>
      </c>
      <c r="F23" s="5">
        <v>7.69</v>
      </c>
    </row>
    <row r="24">
      <c r="A24" s="2">
        <v>1.0</v>
      </c>
      <c r="B24" s="2" t="s">
        <v>79</v>
      </c>
      <c r="C24" s="2" t="s">
        <v>80</v>
      </c>
      <c r="D24" s="8"/>
      <c r="E24" s="3" t="s">
        <v>81</v>
      </c>
      <c r="F24" s="5">
        <v>11.99</v>
      </c>
    </row>
    <row r="25">
      <c r="A25" s="2">
        <v>1.0</v>
      </c>
      <c r="B25" s="2" t="s">
        <v>82</v>
      </c>
      <c r="C25" s="2" t="s">
        <v>83</v>
      </c>
      <c r="D25" s="8"/>
      <c r="E25" s="3" t="s">
        <v>84</v>
      </c>
      <c r="F25" s="5">
        <v>9.99</v>
      </c>
    </row>
    <row r="26">
      <c r="A26" s="2">
        <v>1.0</v>
      </c>
      <c r="B26" s="2" t="s">
        <v>85</v>
      </c>
      <c r="C26" s="2" t="s">
        <v>86</v>
      </c>
      <c r="D26" s="8"/>
      <c r="E26" s="3" t="s">
        <v>87</v>
      </c>
      <c r="F26" s="5">
        <v>21.99</v>
      </c>
    </row>
    <row r="27">
      <c r="A27" s="2">
        <v>1.0</v>
      </c>
      <c r="B27" s="2" t="s">
        <v>88</v>
      </c>
      <c r="C27" s="2" t="s">
        <v>89</v>
      </c>
      <c r="D27" s="8"/>
      <c r="E27" s="3" t="s">
        <v>90</v>
      </c>
      <c r="F27" s="5">
        <v>7.39</v>
      </c>
    </row>
    <row r="28">
      <c r="A28" s="2">
        <v>1.0</v>
      </c>
      <c r="B28" s="2" t="s">
        <v>91</v>
      </c>
      <c r="C28" s="2" t="s">
        <v>86</v>
      </c>
      <c r="D28" s="8"/>
      <c r="E28" s="3" t="s">
        <v>92</v>
      </c>
      <c r="F28" s="5">
        <v>6.27</v>
      </c>
    </row>
    <row r="29">
      <c r="A29" s="2">
        <v>1.0</v>
      </c>
      <c r="B29" s="2" t="s">
        <v>93</v>
      </c>
      <c r="C29" s="2" t="s">
        <v>94</v>
      </c>
      <c r="D29" s="7"/>
      <c r="E29" s="3" t="s">
        <v>95</v>
      </c>
      <c r="F29" s="5">
        <v>8.99</v>
      </c>
    </row>
    <row r="30">
      <c r="A30" s="2">
        <v>1.0</v>
      </c>
      <c r="B30" s="2" t="s">
        <v>96</v>
      </c>
      <c r="C30" s="2" t="s">
        <v>97</v>
      </c>
      <c r="D30" s="2" t="s">
        <v>98</v>
      </c>
      <c r="E30" s="3" t="s">
        <v>99</v>
      </c>
      <c r="F30" s="5">
        <v>31.38</v>
      </c>
    </row>
    <row r="31">
      <c r="A31" s="9" t="s">
        <v>100</v>
      </c>
      <c r="B31" s="10"/>
      <c r="C31" s="10"/>
      <c r="D31" s="10"/>
      <c r="E31" s="11"/>
      <c r="F31" s="12">
        <f>SUM(F2:F30)</f>
        <v>809.16</v>
      </c>
    </row>
    <row r="32">
      <c r="A32" s="13" t="s">
        <v>101</v>
      </c>
      <c r="B32" s="10"/>
      <c r="C32" s="10"/>
      <c r="D32" s="10"/>
      <c r="E32" s="11"/>
      <c r="F32" s="14">
        <v>1000.0</v>
      </c>
    </row>
    <row r="33">
      <c r="A33" s="13" t="s">
        <v>102</v>
      </c>
      <c r="B33" s="10"/>
      <c r="C33" s="10"/>
      <c r="D33" s="10"/>
      <c r="E33" s="11"/>
      <c r="F33" s="14">
        <v>1350.0</v>
      </c>
    </row>
  </sheetData>
  <mergeCells count="6">
    <mergeCell ref="D5:D6"/>
    <mergeCell ref="D7:D11"/>
    <mergeCell ref="D13:D29"/>
    <mergeCell ref="A31:E31"/>
    <mergeCell ref="A33:E33"/>
    <mergeCell ref="A32:E32"/>
  </mergeCell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location="nav-specification" ref="E30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0"/>
</worksheet>
</file>